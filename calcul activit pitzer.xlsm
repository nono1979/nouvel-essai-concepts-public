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cherche\"/>
    </mc:Choice>
  </mc:AlternateContent>
  <xr:revisionPtr revIDLastSave="0" documentId="13_ncr:1_{77FCE3A3-B07B-46A8-B3C5-5A9E28E3BC2F}" xr6:coauthVersionLast="36" xr6:coauthVersionMax="36" xr10:uidLastSave="{00000000-0000-0000-0000-000000000000}"/>
  <bookViews>
    <workbookView xWindow="0" yWindow="0" windowWidth="28800" windowHeight="11505" xr2:uid="{6FCB189F-BFD1-4267-AE97-7548770FAE27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9" i="1" l="1"/>
  <c r="H48" i="1"/>
  <c r="H49" i="1"/>
  <c r="H50" i="1"/>
  <c r="H51" i="1"/>
  <c r="H52" i="1"/>
  <c r="H53" i="1"/>
  <c r="H54" i="1"/>
  <c r="H55" i="1"/>
  <c r="H56" i="1"/>
  <c r="H57" i="1"/>
  <c r="H58" i="1"/>
  <c r="H60" i="1"/>
  <c r="H47" i="1"/>
  <c r="E62" i="1" l="1"/>
  <c r="G47" i="1"/>
  <c r="I47" i="1" s="1"/>
  <c r="F22" i="1" l="1"/>
  <c r="C22" i="1"/>
  <c r="B42" i="1"/>
  <c r="S43" i="1" l="1"/>
  <c r="S41" i="1"/>
  <c r="S38" i="1"/>
  <c r="S36" i="1"/>
  <c r="E64" i="1"/>
  <c r="G86" i="1" l="1"/>
  <c r="G87" i="1"/>
  <c r="G88" i="1"/>
  <c r="G89" i="1"/>
  <c r="G85" i="1"/>
  <c r="G78" i="1"/>
  <c r="G51" i="1"/>
  <c r="I51" i="1" s="1"/>
  <c r="B44" i="1"/>
  <c r="B31" i="1" s="1"/>
  <c r="G48" i="1"/>
  <c r="I48" i="1" s="1"/>
  <c r="G49" i="1"/>
  <c r="I49" i="1" s="1"/>
  <c r="G50" i="1"/>
  <c r="I50" i="1" s="1"/>
  <c r="G52" i="1"/>
  <c r="I52" i="1" s="1"/>
  <c r="G53" i="1"/>
  <c r="I53" i="1" s="1"/>
  <c r="G54" i="1"/>
  <c r="I54" i="1" s="1"/>
  <c r="G55" i="1"/>
  <c r="I55" i="1" s="1"/>
  <c r="G56" i="1"/>
  <c r="I56" i="1" s="1"/>
  <c r="G57" i="1"/>
  <c r="I57" i="1" s="1"/>
  <c r="G58" i="1"/>
  <c r="I58" i="1" s="1"/>
  <c r="G59" i="1"/>
  <c r="G60" i="1"/>
  <c r="I60" i="1" s="1"/>
  <c r="B32" i="1"/>
  <c r="B45" i="1"/>
  <c r="G32" i="1"/>
  <c r="F26" i="1"/>
  <c r="C85" i="1"/>
  <c r="G79" i="1"/>
  <c r="G80" i="1"/>
  <c r="G81" i="1"/>
  <c r="G77" i="1"/>
  <c r="B30" i="1"/>
  <c r="B29" i="1"/>
  <c r="I59" i="1" l="1"/>
  <c r="F69" i="1"/>
  <c r="G90" i="1"/>
  <c r="E39" i="1"/>
  <c r="B36" i="1"/>
  <c r="B24" i="1"/>
  <c r="B35" i="1"/>
  <c r="B23" i="1"/>
  <c r="B27" i="1" l="1"/>
  <c r="B49" i="1" s="1"/>
  <c r="B50" i="1" s="1"/>
  <c r="F27" i="1"/>
  <c r="F28" i="1" s="1"/>
  <c r="F29" i="1" s="1"/>
  <c r="B47" i="1" l="1"/>
</calcChain>
</file>

<file path=xl/sharedStrings.xml><?xml version="1.0" encoding="utf-8"?>
<sst xmlns="http://schemas.openxmlformats.org/spreadsheetml/2006/main" count="74" uniqueCount="54">
  <si>
    <t>zm</t>
  </si>
  <si>
    <t>zx</t>
  </si>
  <si>
    <r>
      <t>A</t>
    </r>
    <r>
      <rPr>
        <sz val="11"/>
        <color theme="1"/>
        <rFont val="Symbol"/>
        <family val="1"/>
        <charset val="2"/>
      </rPr>
      <t>f</t>
    </r>
  </si>
  <si>
    <t>I</t>
  </si>
  <si>
    <t>m1</t>
  </si>
  <si>
    <t>m2</t>
  </si>
  <si>
    <t>z1</t>
  </si>
  <si>
    <t>z2</t>
  </si>
  <si>
    <t>b</t>
  </si>
  <si>
    <r>
      <rPr>
        <sz val="11"/>
        <color theme="1"/>
        <rFont val="Symbol"/>
        <family val="1"/>
        <charset val="2"/>
      </rPr>
      <t>n</t>
    </r>
    <r>
      <rPr>
        <sz val="11"/>
        <color theme="1"/>
        <rFont val="Calibri"/>
        <family val="2"/>
        <scheme val="minor"/>
      </rPr>
      <t>m</t>
    </r>
  </si>
  <si>
    <r>
      <rPr>
        <sz val="11"/>
        <color theme="1"/>
        <rFont val="Symbol"/>
        <family val="1"/>
        <charset val="2"/>
      </rPr>
      <t>n</t>
    </r>
    <r>
      <rPr>
        <sz val="11"/>
        <color theme="1"/>
        <rFont val="Calibri"/>
        <family val="2"/>
        <scheme val="minor"/>
      </rPr>
      <t>x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</si>
  <si>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mx(0)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</si>
  <si>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mx(1)</t>
    </r>
  </si>
  <si>
    <t>a</t>
  </si>
  <si>
    <t>m</t>
  </si>
  <si>
    <t>n</t>
  </si>
  <si>
    <r>
      <t>CMX</t>
    </r>
    <r>
      <rPr>
        <sz val="11"/>
        <color theme="1"/>
        <rFont val="Symbol"/>
        <family val="1"/>
        <charset val="2"/>
      </rPr>
      <t>f</t>
    </r>
  </si>
  <si>
    <t>ex de NaCl</t>
  </si>
  <si>
    <t>N0</t>
  </si>
  <si>
    <t>k</t>
  </si>
  <si>
    <t>e</t>
  </si>
  <si>
    <t>C</t>
  </si>
  <si>
    <t>D</t>
  </si>
  <si>
    <t>constante diélectrique de l'eau pure</t>
  </si>
  <si>
    <t>tableau constante diélectrique</t>
  </si>
  <si>
    <t>i</t>
  </si>
  <si>
    <t>j</t>
  </si>
  <si>
    <t>T</t>
  </si>
  <si>
    <t>°C</t>
  </si>
  <si>
    <t>valeur visiblement sous-estimée mais ne semble pas y avoir erreur dans calcul</t>
  </si>
  <si>
    <t>Lach Pitzer</t>
  </si>
  <si>
    <t>mol/kg</t>
  </si>
  <si>
    <t>qi</t>
  </si>
  <si>
    <t>i =</t>
  </si>
  <si>
    <t>K</t>
  </si>
  <si>
    <t>Tref des qi</t>
  </si>
  <si>
    <r>
      <t>ln(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+-)</t>
    </r>
  </si>
  <si>
    <t xml:space="preserve">f 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</si>
  <si>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+-</t>
    </r>
  </si>
  <si>
    <t>P1</t>
  </si>
  <si>
    <t>P2</t>
  </si>
  <si>
    <t>P3</t>
  </si>
  <si>
    <t>P4</t>
  </si>
  <si>
    <t>P5</t>
  </si>
  <si>
    <t>M</t>
  </si>
  <si>
    <t>w</t>
  </si>
  <si>
    <t>weau</t>
  </si>
  <si>
    <t>r</t>
  </si>
  <si>
    <t>kg/m3</t>
  </si>
  <si>
    <t>permittivité vide</t>
  </si>
  <si>
    <t>xi</t>
  </si>
  <si>
    <t>gamma true aspen calc</t>
  </si>
  <si>
    <t>0.09421 dans publi</t>
  </si>
  <si>
    <t>0.09241 pour C4ij dans aspen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</si>
</sst>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11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coefficient activité NaCl moyen vs molalités à 298 K</a:t>
            </a:r>
            <a:r>
              <a:rPr lang="fr-FR" sz="1400" b="0" i="0" u="none" strike="noStrike" baseline="0"/>
              <a:t> 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Feuil1!$E$47:$E$60</c:f>
              <c:numCache>
                <c:formatCode>General</c:formatCode>
                <c:ptCount val="14"/>
                <c:pt idx="0">
                  <c:v>0.05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0.5</c:v>
                </c:pt>
                <c:pt idx="5">
                  <c:v>1</c:v>
                </c:pt>
                <c:pt idx="6">
                  <c:v>1.5</c:v>
                </c:pt>
                <c:pt idx="7">
                  <c:v>2</c:v>
                </c:pt>
                <c:pt idx="8">
                  <c:v>2.25</c:v>
                </c:pt>
                <c:pt idx="9">
                  <c:v>3</c:v>
                </c:pt>
                <c:pt idx="10">
                  <c:v>3.5</c:v>
                </c:pt>
                <c:pt idx="11">
                  <c:v>4</c:v>
                </c:pt>
                <c:pt idx="12">
                  <c:v>5.5952099999999998</c:v>
                </c:pt>
                <c:pt idx="13">
                  <c:v>6.1459999999999999</c:v>
                </c:pt>
              </c:numCache>
            </c:numRef>
          </c:xVal>
          <c:yVal>
            <c:numRef>
              <c:f>Feuil1!$G$47:$G$60</c:f>
              <c:numCache>
                <c:formatCode>General</c:formatCode>
                <c:ptCount val="14"/>
                <c:pt idx="0">
                  <c:v>0.82058985356193637</c:v>
                </c:pt>
                <c:pt idx="1">
                  <c:v>0.7771292161269856</c:v>
                </c:pt>
                <c:pt idx="2">
                  <c:v>0.73249017512693304</c:v>
                </c:pt>
                <c:pt idx="3">
                  <c:v>0.7076338365406587</c:v>
                </c:pt>
                <c:pt idx="4">
                  <c:v>0.67999536641923886</c:v>
                </c:pt>
                <c:pt idx="5">
                  <c:v>0.65595994929891599</c:v>
                </c:pt>
                <c:pt idx="6">
                  <c:v>0.65604548673365293</c:v>
                </c:pt>
                <c:pt idx="7">
                  <c:v>0.66781126191835682</c:v>
                </c:pt>
                <c:pt idx="8">
                  <c:v>0.67679198676211338</c:v>
                </c:pt>
                <c:pt idx="9">
                  <c:v>0.71360099900405427</c:v>
                </c:pt>
                <c:pt idx="10">
                  <c:v>0.7454221681781702</c:v>
                </c:pt>
                <c:pt idx="11">
                  <c:v>0.78272044377147743</c:v>
                </c:pt>
                <c:pt idx="12">
                  <c:v>0.93928281325150909</c:v>
                </c:pt>
                <c:pt idx="13">
                  <c:v>1.0078576752708561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0-4FBB-A67C-952C43BE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342720"/>
        <c:axId val="559122192"/>
      </c:scatterChart>
      <c:valAx>
        <c:axId val="74034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122192"/>
        <c:crosses val="autoZero"/>
        <c:crossBetween val="midCat"/>
      </c:valAx>
      <c:valAx>
        <c:axId val="5591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342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87355</xdr:colOff>
      <xdr:row>15</xdr:row>
      <xdr:rowOff>38504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3B4F2A-7394-4364-A2CF-FF42E488D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679280" cy="2896004"/>
        </a:xfrm>
        <a:prstGeom prst="rect">
          <a:avLst/>
        </a:prstGeom>
      </xdr:spPr>
    </xdr:pic>
    <xdr:clientData/>
  </xdr:twoCellAnchor>
  <xdr:twoCellAnchor editAs="oneCell">
    <xdr:from>
      <xdr:col>12</xdr:col>
      <xdr:colOff>314325</xdr:colOff>
      <xdr:row>45</xdr:row>
      <xdr:rowOff>28575</xdr:rowOff>
    </xdr:from>
    <xdr:to>
      <xdr:col>20</xdr:col>
      <xdr:colOff>124649</xdr:colOff>
      <xdr:row>77</xdr:row>
      <xdr:rowOff>19900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6C8201B-1E52-4B99-BFD6-B1D7F3EC1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0" y="8410575"/>
          <a:ext cx="5906324" cy="6087325"/>
        </a:xfrm>
        <a:prstGeom prst="rect">
          <a:avLst/>
        </a:prstGeom>
      </xdr:spPr>
    </xdr:pic>
    <xdr:clientData/>
  </xdr:twoCellAnchor>
  <xdr:twoCellAnchor editAs="oneCell">
    <xdr:from>
      <xdr:col>12</xdr:col>
      <xdr:colOff>638175</xdr:colOff>
      <xdr:row>17</xdr:row>
      <xdr:rowOff>161925</xdr:rowOff>
    </xdr:from>
    <xdr:to>
      <xdr:col>20</xdr:col>
      <xdr:colOff>381815</xdr:colOff>
      <xdr:row>24</xdr:row>
      <xdr:rowOff>152585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BD07B0A8-9865-4EE8-9875-AF58F0E4F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2175" y="3400425"/>
          <a:ext cx="5839640" cy="1324160"/>
        </a:xfrm>
        <a:prstGeom prst="rect">
          <a:avLst/>
        </a:prstGeom>
      </xdr:spPr>
    </xdr:pic>
    <xdr:clientData/>
  </xdr:twoCellAnchor>
  <xdr:twoCellAnchor editAs="oneCell">
    <xdr:from>
      <xdr:col>8</xdr:col>
      <xdr:colOff>676275</xdr:colOff>
      <xdr:row>18</xdr:row>
      <xdr:rowOff>114300</xdr:rowOff>
    </xdr:from>
    <xdr:to>
      <xdr:col>15</xdr:col>
      <xdr:colOff>267387</xdr:colOff>
      <xdr:row>24</xdr:row>
      <xdr:rowOff>66828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CFB6B252-3324-421D-95EB-FF6AFCE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48475" y="3543300"/>
          <a:ext cx="4925112" cy="1095528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33</xdr:row>
      <xdr:rowOff>28575</xdr:rowOff>
    </xdr:from>
    <xdr:to>
      <xdr:col>10</xdr:col>
      <xdr:colOff>733994</xdr:colOff>
      <xdr:row>37</xdr:row>
      <xdr:rowOff>28681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4C36D3FE-4E23-4852-B287-D299FCD74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52925" y="6315075"/>
          <a:ext cx="4077269" cy="762106"/>
        </a:xfrm>
        <a:prstGeom prst="rect">
          <a:avLst/>
        </a:prstGeom>
      </xdr:spPr>
    </xdr:pic>
    <xdr:clientData/>
  </xdr:twoCellAnchor>
  <xdr:twoCellAnchor editAs="oneCell">
    <xdr:from>
      <xdr:col>8</xdr:col>
      <xdr:colOff>752475</xdr:colOff>
      <xdr:row>28</xdr:row>
      <xdr:rowOff>152400</xdr:rowOff>
    </xdr:from>
    <xdr:to>
      <xdr:col>16</xdr:col>
      <xdr:colOff>534220</xdr:colOff>
      <xdr:row>42</xdr:row>
      <xdr:rowOff>47983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384C0D12-ACCA-4450-BA2D-4D2B2F226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924675" y="5486400"/>
          <a:ext cx="5877745" cy="2562583"/>
        </a:xfrm>
        <a:prstGeom prst="rect">
          <a:avLst/>
        </a:prstGeom>
      </xdr:spPr>
    </xdr:pic>
    <xdr:clientData/>
  </xdr:twoCellAnchor>
  <xdr:twoCellAnchor>
    <xdr:from>
      <xdr:col>9</xdr:col>
      <xdr:colOff>481011</xdr:colOff>
      <xdr:row>34</xdr:row>
      <xdr:rowOff>147636</xdr:rowOff>
    </xdr:from>
    <xdr:to>
      <xdr:col>17</xdr:col>
      <xdr:colOff>695324</xdr:colOff>
      <xdr:row>57</xdr:row>
      <xdr:rowOff>114299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6C33390-1AE7-444D-945B-DC79C57CBD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</xdr:col>
      <xdr:colOff>28575</xdr:colOff>
      <xdr:row>61</xdr:row>
      <xdr:rowOff>66675</xdr:rowOff>
    </xdr:from>
    <xdr:to>
      <xdr:col>14</xdr:col>
      <xdr:colOff>476951</xdr:colOff>
      <xdr:row>75</xdr:row>
      <xdr:rowOff>363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4E1CA9B2-EC25-4F58-A091-15FD7E368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86500" y="11687175"/>
          <a:ext cx="5020376" cy="2600688"/>
        </a:xfrm>
        <a:prstGeom prst="rect">
          <a:avLst/>
        </a:prstGeom>
      </xdr:spPr>
    </xdr:pic>
    <xdr:clientData/>
  </xdr:twoCellAnchor>
  <xdr:twoCellAnchor>
    <xdr:from>
      <xdr:col>7</xdr:col>
      <xdr:colOff>257175</xdr:colOff>
      <xdr:row>39</xdr:row>
      <xdr:rowOff>95250</xdr:rowOff>
    </xdr:from>
    <xdr:to>
      <xdr:col>8</xdr:col>
      <xdr:colOff>409575</xdr:colOff>
      <xdr:row>44</xdr:row>
      <xdr:rowOff>57150</xdr:rowOff>
    </xdr:to>
    <xdr:sp macro="[0]!Macro2" textlink="">
      <xdr:nvSpPr>
        <xdr:cNvPr id="11" name="Émoticône 10">
          <a:extLst>
            <a:ext uri="{FF2B5EF4-FFF2-40B4-BE49-F238E27FC236}">
              <a16:creationId xmlns:a16="http://schemas.microsoft.com/office/drawing/2014/main" id="{A425E7AB-344D-4A62-9AA7-5BD90D02FB28}"/>
            </a:ext>
          </a:extLst>
        </xdr:cNvPr>
        <xdr:cNvSpPr/>
      </xdr:nvSpPr>
      <xdr:spPr>
        <a:xfrm>
          <a:off x="5753100" y="7524750"/>
          <a:ext cx="914400" cy="9144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50A5-C1FE-4E77-B239-98CB66C8E71F}">
  <sheetPr codeName="Feuil1"/>
  <dimension ref="A17:T90"/>
  <sheetViews>
    <sheetView tabSelected="1" topLeftCell="A46" workbookViewId="0">
      <selection activeCell="G69" sqref="G69"/>
    </sheetView>
  </sheetViews>
  <sheetFormatPr baseColWidth="10" defaultRowHeight="15"/>
  <cols>
    <col min="4" max="4" width="12" bestFit="1" customWidth="1"/>
    <col min="5" max="5" width="12.7109375" bestFit="1" customWidth="1"/>
    <col min="6" max="6" width="12" bestFit="1" customWidth="1"/>
  </cols>
  <sheetData>
    <row r="17" spans="1:9">
      <c r="A17" t="s">
        <v>17</v>
      </c>
    </row>
    <row r="19" spans="1:9">
      <c r="A19" t="s">
        <v>0</v>
      </c>
    </row>
    <row r="20" spans="1:9">
      <c r="A20" t="s">
        <v>1</v>
      </c>
    </row>
    <row r="21" spans="1:9">
      <c r="A21" s="2" t="s">
        <v>47</v>
      </c>
      <c r="B21">
        <v>997</v>
      </c>
      <c r="C21" t="s">
        <v>48</v>
      </c>
    </row>
    <row r="22" spans="1:9">
      <c r="A22" t="s">
        <v>2</v>
      </c>
      <c r="B22" s="3">
        <v>0.39100000000000001</v>
      </c>
      <c r="C22" s="3">
        <f>1/3*(2*PI()*B37*B21)^0.5*((B40)^(2)/(B41*4*PI()*B42*B39*(273.15+B43)))^1.5</f>
        <v>0.39707165430468333</v>
      </c>
      <c r="F22">
        <f>0.0628131*2</f>
        <v>0.12562619999999999</v>
      </c>
    </row>
    <row r="23" spans="1:9">
      <c r="A23" t="s">
        <v>4</v>
      </c>
      <c r="B23">
        <f>B34*B29</f>
        <v>6.1459999999999999</v>
      </c>
    </row>
    <row r="24" spans="1:9">
      <c r="A24" t="s">
        <v>5</v>
      </c>
      <c r="B24">
        <f>B34*B30</f>
        <v>6.1459999999999999</v>
      </c>
    </row>
    <row r="25" spans="1:9">
      <c r="A25" t="s">
        <v>6</v>
      </c>
      <c r="B25">
        <v>1</v>
      </c>
    </row>
    <row r="26" spans="1:9">
      <c r="A26" t="s">
        <v>7</v>
      </c>
      <c r="B26">
        <v>-1</v>
      </c>
      <c r="F26">
        <f>0.3333*(2*3.14*6.02E+23*1/1000)^0.5</f>
        <v>20493370000.524559</v>
      </c>
      <c r="I26" t="s">
        <v>30</v>
      </c>
    </row>
    <row r="27" spans="1:9">
      <c r="A27" t="s">
        <v>3</v>
      </c>
      <c r="B27">
        <f>1/2*(B23*B25^2+B24*B26^2)</f>
        <v>6.1459999999999999</v>
      </c>
      <c r="C27" t="s">
        <v>31</v>
      </c>
      <c r="F27" s="3">
        <f>B40^2/(E39*B39*293)</f>
        <v>9.0138311298507505E-20</v>
      </c>
    </row>
    <row r="28" spans="1:9">
      <c r="A28" t="s">
        <v>8</v>
      </c>
      <c r="B28">
        <v>1.2</v>
      </c>
      <c r="F28" s="3">
        <f>F27^1.5</f>
        <v>2.7062263990726161E-29</v>
      </c>
    </row>
    <row r="29" spans="1:9">
      <c r="A29" s="1" t="s">
        <v>9</v>
      </c>
      <c r="B29">
        <f>ABS(B25)</f>
        <v>1</v>
      </c>
      <c r="F29" s="3">
        <f>F26*F28</f>
        <v>5.5459698901382358E-19</v>
      </c>
    </row>
    <row r="30" spans="1:9">
      <c r="A30" s="1" t="s">
        <v>10</v>
      </c>
      <c r="B30">
        <f>ABS(B26)</f>
        <v>1</v>
      </c>
    </row>
    <row r="31" spans="1:9">
      <c r="A31" s="1" t="s">
        <v>11</v>
      </c>
      <c r="B31" s="3">
        <f>B54+B55*(1/B44-1/B45)+B56*LN(B44/B45)+B57*(B44-B45)+B58*(B44^2-B45^2)</f>
        <v>7.639251174102632E-2</v>
      </c>
    </row>
    <row r="32" spans="1:9">
      <c r="A32" s="1" t="s">
        <v>12</v>
      </c>
      <c r="B32" s="3">
        <f>B59+B60*(B44-B45)+B61*(B44^-B45^2)</f>
        <v>0.26639075878500001</v>
      </c>
      <c r="G32" s="3">
        <f>1.825*1000000*(B41*293)^-1.5</f>
        <v>0.52515259608338694</v>
      </c>
    </row>
    <row r="33" spans="1:20">
      <c r="A33" s="2" t="s">
        <v>13</v>
      </c>
      <c r="B33">
        <v>2</v>
      </c>
    </row>
    <row r="34" spans="1:20">
      <c r="A34" s="1" t="s">
        <v>14</v>
      </c>
      <c r="B34">
        <v>6.1459999999999999</v>
      </c>
      <c r="C34" t="s">
        <v>31</v>
      </c>
    </row>
    <row r="35" spans="1:20">
      <c r="A35" s="2" t="s">
        <v>15</v>
      </c>
      <c r="B35">
        <f>B29+B30</f>
        <v>2</v>
      </c>
    </row>
    <row r="36" spans="1:20">
      <c r="A36" t="s">
        <v>16</v>
      </c>
      <c r="B36" s="3">
        <f>B62+B63*(1/B44-1/B45)+B64*LN(B44/B45)+B65*(B44-B45)</f>
        <v>1.2858211584754037E-3</v>
      </c>
      <c r="R36" t="s">
        <v>45</v>
      </c>
      <c r="S36">
        <f>0.149487+0.0969328</f>
        <v>0.24641980000000002</v>
      </c>
    </row>
    <row r="37" spans="1:20">
      <c r="A37" t="s">
        <v>18</v>
      </c>
      <c r="B37" s="3">
        <v>6.0221407599999999E+23</v>
      </c>
      <c r="R37" t="s">
        <v>44</v>
      </c>
      <c r="S37" s="3">
        <v>5.8439999999999999E-2</v>
      </c>
    </row>
    <row r="38" spans="1:20">
      <c r="A38" s="1"/>
      <c r="B38">
        <v>1</v>
      </c>
      <c r="D38" s="3">
        <v>80.176000000000002</v>
      </c>
      <c r="R38" t="s">
        <v>14</v>
      </c>
      <c r="S38">
        <f>S36/S37/(1-S36)</f>
        <v>5.5954615331166391</v>
      </c>
    </row>
    <row r="39" spans="1:20">
      <c r="A39" t="s">
        <v>19</v>
      </c>
      <c r="B39" s="3">
        <v>1.3806490000000001E-23</v>
      </c>
      <c r="E39">
        <f>SUM(G77:G81)</f>
        <v>70.998924114949219</v>
      </c>
    </row>
    <row r="40" spans="1:20">
      <c r="A40" t="s">
        <v>20</v>
      </c>
      <c r="B40" s="3">
        <v>1.609E-19</v>
      </c>
      <c r="C40" t="s">
        <v>21</v>
      </c>
      <c r="R40" t="s">
        <v>14</v>
      </c>
      <c r="S40">
        <v>4</v>
      </c>
      <c r="T40" t="s">
        <v>31</v>
      </c>
    </row>
    <row r="41" spans="1:20">
      <c r="A41" t="s">
        <v>22</v>
      </c>
      <c r="B41" s="3">
        <v>78.304000000000002</v>
      </c>
      <c r="C41" t="s">
        <v>23</v>
      </c>
      <c r="F41" t="s">
        <v>29</v>
      </c>
      <c r="R41" t="s">
        <v>45</v>
      </c>
      <c r="S41" s="3">
        <f>S40*S37/(S40*S37+1)</f>
        <v>0.1894695888989755</v>
      </c>
    </row>
    <row r="42" spans="1:20">
      <c r="A42" t="s">
        <v>49</v>
      </c>
      <c r="B42" s="3">
        <f>8.854187812E-12</f>
        <v>8.8541878120000006E-12</v>
      </c>
      <c r="S42" s="3"/>
    </row>
    <row r="43" spans="1:20">
      <c r="A43" t="s">
        <v>27</v>
      </c>
      <c r="B43" s="3">
        <v>25</v>
      </c>
      <c r="C43" t="s">
        <v>28</v>
      </c>
      <c r="E43">
        <v>80.176000000000002</v>
      </c>
      <c r="R43" t="s">
        <v>46</v>
      </c>
      <c r="S43" s="3">
        <f>1-S41</f>
        <v>0.81053041110102453</v>
      </c>
    </row>
    <row r="44" spans="1:20">
      <c r="A44" t="s">
        <v>27</v>
      </c>
      <c r="B44" s="3">
        <f>F45</f>
        <v>298</v>
      </c>
      <c r="C44" t="s">
        <v>34</v>
      </c>
    </row>
    <row r="45" spans="1:20">
      <c r="A45" t="s">
        <v>35</v>
      </c>
      <c r="B45">
        <f>298.15</f>
        <v>298.14999999999998</v>
      </c>
      <c r="C45" t="s">
        <v>34</v>
      </c>
      <c r="E45" t="s">
        <v>27</v>
      </c>
      <c r="F45">
        <v>298</v>
      </c>
    </row>
    <row r="46" spans="1:20">
      <c r="E46" t="s">
        <v>14</v>
      </c>
      <c r="F46" s="4" t="s">
        <v>36</v>
      </c>
      <c r="G46" s="5" t="s">
        <v>38</v>
      </c>
      <c r="H46" t="s">
        <v>50</v>
      </c>
      <c r="I46" t="s">
        <v>51</v>
      </c>
    </row>
    <row r="47" spans="1:20">
      <c r="A47" s="2" t="s">
        <v>37</v>
      </c>
      <c r="B47" s="3">
        <f>1-ABS(B25*B26)*B22*B27^0.5/(1+B28*SQRT(B27))+B34*2*B29*B30/B35*(B31+B32*EXP(-B33*SQRT(B27)))+B34^2*2*(B29*B30)^1.5/B35*B36</f>
        <v>1.2857189789105705</v>
      </c>
      <c r="E47">
        <v>0.05</v>
      </c>
      <c r="F47" s="3">
        <v>-0.19773186370813947</v>
      </c>
      <c r="G47">
        <f>EXP(F47)</f>
        <v>0.82058985356193637</v>
      </c>
      <c r="H47">
        <f>E47/(2*E47+1000/18.01)</f>
        <v>8.9888111511168399E-4</v>
      </c>
      <c r="I47">
        <f>G47*E47/H47*18.0153/1000</f>
        <v>0.82230965476661377</v>
      </c>
    </row>
    <row r="48" spans="1:20">
      <c r="E48">
        <v>0.1</v>
      </c>
      <c r="F48">
        <v>-0.25214864111928975</v>
      </c>
      <c r="G48">
        <f t="shared" ref="G48:G60" si="0">EXP(F48)</f>
        <v>0.7771292161269856</v>
      </c>
      <c r="H48">
        <f t="shared" ref="H48:H60" si="1">E48/(2*E48+1000/18.01)</f>
        <v>1.7945360810361082E-3</v>
      </c>
      <c r="I48">
        <f t="shared" ref="I48:I60" si="2">G48*E48/H48*18.0153/1000</f>
        <v>0.78015795364834362</v>
      </c>
    </row>
    <row r="49" spans="1:9">
      <c r="A49" t="s">
        <v>36</v>
      </c>
      <c r="B49" s="3">
        <f>-ABS(B25*B26)*B22*(SQRT(B27)/(1+B28*SQRT(B27))+2/B28*LN(1+B28*B27^0.5))+B34*2*B29*B30/B35*(2*B31+2*B32/(B33^2*B27)*(1-(1+B33*SQRT(B27)-B33^2*B27/2)*EXP(-B33*SQRT(B27))))+3*B34^2/2*(2*(B29*B30)^1.5/B35)*B36</f>
        <v>7.8266793829425696E-3</v>
      </c>
      <c r="E49">
        <v>0.2</v>
      </c>
      <c r="F49">
        <v>-0.31130535097686285</v>
      </c>
      <c r="G49">
        <f t="shared" si="0"/>
        <v>0.73249017512693304</v>
      </c>
      <c r="H49">
        <f t="shared" si="1"/>
        <v>3.5762367901636615E-3</v>
      </c>
      <c r="I49">
        <f t="shared" si="2"/>
        <v>0.73798414513600141</v>
      </c>
    </row>
    <row r="50" spans="1:9">
      <c r="A50" s="1" t="s">
        <v>38</v>
      </c>
      <c r="B50">
        <f>EXP(B49)</f>
        <v>1.0078573879009858</v>
      </c>
      <c r="E50">
        <v>0.3</v>
      </c>
      <c r="F50">
        <v>-0.34582849909945468</v>
      </c>
      <c r="G50">
        <f t="shared" si="0"/>
        <v>0.7076338365406587</v>
      </c>
      <c r="H50">
        <f t="shared" si="1"/>
        <v>5.3452393436524918E-3</v>
      </c>
      <c r="I50">
        <f t="shared" si="2"/>
        <v>0.7154910212151423</v>
      </c>
    </row>
    <row r="51" spans="1:9">
      <c r="A51" s="1"/>
      <c r="E51">
        <v>0.5</v>
      </c>
      <c r="F51" s="3">
        <v>-0.38566929492455537</v>
      </c>
      <c r="G51">
        <f t="shared" si="0"/>
        <v>0.67999536641923886</v>
      </c>
      <c r="H51">
        <f t="shared" si="1"/>
        <v>8.8456891386135706E-3</v>
      </c>
      <c r="I51">
        <f t="shared" si="2"/>
        <v>0.6924457966297336</v>
      </c>
    </row>
    <row r="52" spans="1:9">
      <c r="A52" t="s">
        <v>32</v>
      </c>
      <c r="E52">
        <v>1</v>
      </c>
      <c r="F52">
        <v>-0.42165554479984602</v>
      </c>
      <c r="G52">
        <f t="shared" si="0"/>
        <v>0.65595994929891599</v>
      </c>
      <c r="H52">
        <f t="shared" si="1"/>
        <v>1.7383834288913342E-2</v>
      </c>
      <c r="I52">
        <f t="shared" si="2"/>
        <v>0.6797876163684633</v>
      </c>
    </row>
    <row r="53" spans="1:9">
      <c r="A53" t="s">
        <v>33</v>
      </c>
      <c r="E53">
        <v>1.5</v>
      </c>
      <c r="F53">
        <v>-0.42152515290891479</v>
      </c>
      <c r="G53">
        <f t="shared" si="0"/>
        <v>0.65604548673365293</v>
      </c>
      <c r="H53">
        <f t="shared" si="1"/>
        <v>2.5630200278929444E-2</v>
      </c>
      <c r="I53">
        <f t="shared" si="2"/>
        <v>0.69169511719748711</v>
      </c>
    </row>
    <row r="54" spans="1:9">
      <c r="A54">
        <v>1</v>
      </c>
      <c r="B54">
        <v>7.6499999999999999E-2</v>
      </c>
      <c r="C54" t="s">
        <v>39</v>
      </c>
      <c r="E54">
        <v>2</v>
      </c>
      <c r="F54">
        <v>-0.40374968740640105</v>
      </c>
      <c r="G54">
        <f t="shared" si="0"/>
        <v>0.66781126191835682</v>
      </c>
      <c r="H54">
        <f t="shared" si="1"/>
        <v>3.3599492556247904E-2</v>
      </c>
      <c r="I54">
        <f t="shared" si="2"/>
        <v>0.71613106696164164</v>
      </c>
    </row>
    <row r="55" spans="1:9">
      <c r="A55">
        <v>2</v>
      </c>
      <c r="B55">
        <v>-777.03</v>
      </c>
      <c r="C55" t="s">
        <v>41</v>
      </c>
      <c r="E55">
        <v>2.25</v>
      </c>
      <c r="F55">
        <v>-0.39039131065070998</v>
      </c>
      <c r="G55">
        <f t="shared" si="0"/>
        <v>0.67679198676211338</v>
      </c>
      <c r="H55">
        <f t="shared" si="1"/>
        <v>3.7484563547308399E-2</v>
      </c>
      <c r="I55">
        <f t="shared" si="2"/>
        <v>0.73185790181035049</v>
      </c>
    </row>
    <row r="56" spans="1:9">
      <c r="A56">
        <v>3</v>
      </c>
      <c r="B56">
        <v>-4.4706000000000001</v>
      </c>
      <c r="C56" t="s">
        <v>42</v>
      </c>
      <c r="E56">
        <v>3</v>
      </c>
      <c r="F56">
        <v>-0.33743129776768971</v>
      </c>
      <c r="G56">
        <f t="shared" si="0"/>
        <v>0.71360099900405427</v>
      </c>
      <c r="H56">
        <f t="shared" si="1"/>
        <v>4.876089742432721E-2</v>
      </c>
      <c r="I56">
        <f t="shared" si="2"/>
        <v>0.79094541465169421</v>
      </c>
    </row>
    <row r="57" spans="1:9">
      <c r="A57">
        <v>4</v>
      </c>
      <c r="B57">
        <v>8.9460000000000008E-3</v>
      </c>
      <c r="C57" t="s">
        <v>40</v>
      </c>
      <c r="E57">
        <v>3.5</v>
      </c>
      <c r="F57">
        <v>-0.29380455240312309</v>
      </c>
      <c r="G57">
        <f t="shared" si="0"/>
        <v>0.7454221681781702</v>
      </c>
      <c r="H57">
        <f t="shared" si="1"/>
        <v>5.5977869937037669E-2</v>
      </c>
      <c r="I57">
        <f t="shared" si="2"/>
        <v>0.83964455963037965</v>
      </c>
    </row>
    <row r="58" spans="1:9">
      <c r="A58">
        <v>5</v>
      </c>
      <c r="B58" s="3">
        <v>-3.3158000000000001E-6</v>
      </c>
      <c r="C58" t="s">
        <v>43</v>
      </c>
      <c r="E58">
        <v>4</v>
      </c>
      <c r="F58">
        <v>-0.24497967896284711</v>
      </c>
      <c r="G58">
        <f t="shared" si="0"/>
        <v>0.78272044377147743</v>
      </c>
      <c r="H58">
        <f t="shared" si="1"/>
        <v>6.2967624641633455E-2</v>
      </c>
      <c r="I58">
        <f t="shared" si="2"/>
        <v>0.89575833237659841</v>
      </c>
    </row>
    <row r="59" spans="1:9">
      <c r="A59">
        <v>6</v>
      </c>
      <c r="B59">
        <v>0.26640000000000003</v>
      </c>
      <c r="C59" t="s">
        <v>39</v>
      </c>
      <c r="E59">
        <v>5.5952099999999998</v>
      </c>
      <c r="F59">
        <v>-6.263865954978115E-2</v>
      </c>
      <c r="G59">
        <f t="shared" si="0"/>
        <v>0.93928281325150909</v>
      </c>
      <c r="H59">
        <f t="shared" si="1"/>
        <v>8.3867184643072662E-2</v>
      </c>
      <c r="I59">
        <f t="shared" si="2"/>
        <v>1.1289174893464582</v>
      </c>
    </row>
    <row r="60" spans="1:9">
      <c r="A60">
        <v>9</v>
      </c>
      <c r="B60" s="3">
        <v>6.1608100000000004E-5</v>
      </c>
      <c r="C60" t="s">
        <v>40</v>
      </c>
      <c r="E60">
        <v>6.1459999999999999</v>
      </c>
      <c r="F60">
        <v>7.826964512399226E-3</v>
      </c>
      <c r="G60">
        <f t="shared" si="0"/>
        <v>1.0078576752708561</v>
      </c>
      <c r="H60">
        <f t="shared" si="1"/>
        <v>9.0626633706761536E-2</v>
      </c>
      <c r="I60">
        <f t="shared" si="2"/>
        <v>1.2313383717639224</v>
      </c>
    </row>
    <row r="61" spans="1:9">
      <c r="A61">
        <v>10</v>
      </c>
      <c r="B61" s="3">
        <v>1.0715E-6</v>
      </c>
      <c r="C61" t="s">
        <v>43</v>
      </c>
    </row>
    <row r="62" spans="1:9">
      <c r="A62">
        <v>11</v>
      </c>
      <c r="B62" s="3">
        <v>1.2700000000000001E-3</v>
      </c>
      <c r="C62" t="s">
        <v>39</v>
      </c>
      <c r="E62">
        <f>SQRT(1.063*0.637)</f>
        <v>0.8228796995916231</v>
      </c>
    </row>
    <row r="63" spans="1:9">
      <c r="A63">
        <v>12</v>
      </c>
      <c r="B63" s="3">
        <v>33.317</v>
      </c>
      <c r="C63" t="s">
        <v>41</v>
      </c>
    </row>
    <row r="64" spans="1:9">
      <c r="A64">
        <v>13</v>
      </c>
      <c r="B64" s="3">
        <v>9.4210000000000002E-2</v>
      </c>
      <c r="C64" t="s">
        <v>42</v>
      </c>
      <c r="D64" s="3">
        <v>9.4200000000000006E-2</v>
      </c>
      <c r="E64">
        <f>1.5^2</f>
        <v>2.25</v>
      </c>
    </row>
    <row r="65" spans="1:14">
      <c r="A65">
        <v>14</v>
      </c>
      <c r="B65" s="3">
        <v>-4.655E-5</v>
      </c>
      <c r="C65" t="s">
        <v>40</v>
      </c>
      <c r="F65" t="s">
        <v>52</v>
      </c>
    </row>
    <row r="66" spans="1:14">
      <c r="A66">
        <v>16</v>
      </c>
      <c r="B66" s="3">
        <v>41587.11</v>
      </c>
      <c r="F66" t="s">
        <v>53</v>
      </c>
      <c r="N66">
        <v>9.2410000000000006E-2</v>
      </c>
    </row>
    <row r="67" spans="1:14">
      <c r="A67">
        <v>17</v>
      </c>
      <c r="B67" s="3">
        <v>-315.89999999999998</v>
      </c>
    </row>
    <row r="68" spans="1:14">
      <c r="A68">
        <v>18</v>
      </c>
      <c r="B68" s="3">
        <v>0.85140000000000005</v>
      </c>
      <c r="F68">
        <v>0.93282299999999996</v>
      </c>
    </row>
    <row r="69" spans="1:14">
      <c r="A69">
        <v>19</v>
      </c>
      <c r="B69" s="3">
        <v>-8.3636999999999997</v>
      </c>
      <c r="F69">
        <f>(G59-F68)/G59</f>
        <v>6.8773889614217841E-3</v>
      </c>
    </row>
    <row r="74" spans="1:14">
      <c r="A74" t="s">
        <v>24</v>
      </c>
    </row>
    <row r="75" spans="1:14">
      <c r="B75" s="6" t="s">
        <v>26</v>
      </c>
      <c r="C75" s="6"/>
      <c r="D75" s="6"/>
      <c r="E75" s="6"/>
      <c r="F75" s="6"/>
    </row>
    <row r="76" spans="1:14">
      <c r="A76" t="s">
        <v>25</v>
      </c>
      <c r="B76">
        <v>0</v>
      </c>
      <c r="C76">
        <v>1</v>
      </c>
      <c r="D76">
        <v>2</v>
      </c>
      <c r="E76">
        <v>3</v>
      </c>
      <c r="F76">
        <v>4</v>
      </c>
    </row>
    <row r="77" spans="1:14">
      <c r="A77">
        <v>0</v>
      </c>
      <c r="B77">
        <v>88.287000000000006</v>
      </c>
      <c r="C77">
        <v>-78.111099300000006</v>
      </c>
      <c r="D77">
        <v>77.652637200000001</v>
      </c>
      <c r="E77">
        <v>0</v>
      </c>
      <c r="F77">
        <v>0</v>
      </c>
      <c r="G77">
        <f>B77*(B$43)^(A77)*(B$38)^(B$76)+C77*(B$43)^(A77)*(B$38)^(C$76)+D77*(B$43)^(A77)*(B$38)^(D$76)+E77*(B$43)^(A77)*(B$38)^(E$76)+F77*(B$43)^(A77)*(B$38)^(F$76)</f>
        <v>87.828537900000001</v>
      </c>
    </row>
    <row r="78" spans="1:14">
      <c r="A78">
        <v>1</v>
      </c>
      <c r="B78">
        <v>-0.67033927000000004</v>
      </c>
      <c r="C78">
        <v>0.44346551200000001</v>
      </c>
      <c r="D78">
        <v>-0.135474228</v>
      </c>
      <c r="E78">
        <v>-0.33496986200000001</v>
      </c>
      <c r="G78">
        <f>B78*(B$43)^(A78)*(B$38)^(B$76)+C78*(B$43)^(A78)*(B$38)^(C$76)+D78*(B$43)^(A78)*(B$38)^(D$76)+E78*(B$43)^(A78)*(B$38)^(E$76)+F78*(B$43)^(A78)*(B$38)^(F$76)</f>
        <v>-17.432946200000004</v>
      </c>
    </row>
    <row r="79" spans="1:14">
      <c r="A79">
        <v>2</v>
      </c>
      <c r="B79" s="3">
        <v>1.9995491300000001E-3</v>
      </c>
      <c r="C79" s="3">
        <v>-8.7114043399999996E-4</v>
      </c>
      <c r="D79" s="3">
        <v>-1.10849697E-4</v>
      </c>
      <c r="G79">
        <f>B79*(B$43)^(A79)*(B$38)^(B$76)+C79*(B$43)^(A79)*(B$38)^(C$76)+D79*(B$43)^(A79)*(B$38)^(D$76)+E79*(B$43)^(A79)*(B$38)^(E$76)+F79*(B$43)^(A79)*(B$38)^(F$76)</f>
        <v>0.63597437437500015</v>
      </c>
    </row>
    <row r="80" spans="1:14">
      <c r="A80">
        <v>3</v>
      </c>
      <c r="B80" s="3">
        <v>-2.7156793600000002E-6</v>
      </c>
      <c r="C80" s="3">
        <v>5.9144434099999998E-7</v>
      </c>
      <c r="G80">
        <f>B80*(B$43)^(A80)*(B$38)^(B$76)+C80*(B$43)^(A80)*(B$38)^(C$76)+D80*(B$43)^(A80)*(B$38)^(D$76)+E80*(B$43)^(A80)*(B$38)^(E$76)+F80*(B$43)^(A80)*(B$38)^(F$76)</f>
        <v>-3.3191172171875005E-2</v>
      </c>
    </row>
    <row r="81" spans="1:7">
      <c r="A81">
        <v>4</v>
      </c>
      <c r="B81" s="3">
        <v>1.4059846300000001E-9</v>
      </c>
      <c r="G81">
        <f>B81*(B$43)^(A81)*(B$38)^(B$76)+C81*(B$43)^(A81)*(B$38)^(C$76)+D81*(B$43)^(A81)*(B$38)^(D$76)+E81*(B$43)^(A81)*(B$38)^(E$76)+F81*(B$43)^(A81)*(B$38)^(F$76)</f>
        <v>5.4921274609375003E-4</v>
      </c>
    </row>
    <row r="83" spans="1:7">
      <c r="B83" s="4" t="s">
        <v>26</v>
      </c>
      <c r="C83" s="4"/>
      <c r="D83" s="4"/>
      <c r="E83" s="4"/>
      <c r="F83" s="4"/>
    </row>
    <row r="84" spans="1:7">
      <c r="A84" t="s">
        <v>25</v>
      </c>
      <c r="B84">
        <v>0</v>
      </c>
      <c r="C84">
        <v>1</v>
      </c>
      <c r="D84">
        <v>2</v>
      </c>
      <c r="E84">
        <v>3</v>
      </c>
      <c r="F84">
        <v>4</v>
      </c>
    </row>
    <row r="85" spans="1:7">
      <c r="A85">
        <v>0</v>
      </c>
      <c r="B85">
        <v>439.10959200000002</v>
      </c>
      <c r="C85">
        <f>-2.18995148*10^2</f>
        <v>-218.995148</v>
      </c>
      <c r="D85">
        <v>18.289824599999999</v>
      </c>
      <c r="E85">
        <v>154.88679999999999</v>
      </c>
      <c r="F85">
        <v>-61.354237500000004</v>
      </c>
      <c r="G85">
        <f>B85*(B$44)^(A85)*(B$38)^(B$76)+C85*(B$44)^(A85)*(B$38)^(C$76)+D85*(B$44)^(A85)*(B$38)^(D$76)+E85*(B$44)^(A85)*(B$38)^(E$76)+F85*(B$44)^(A85)*(B$38)^(F$76)</f>
        <v>331.93683110000001</v>
      </c>
    </row>
    <row r="86" spans="1:7">
      <c r="A86">
        <v>1</v>
      </c>
      <c r="B86">
        <v>-2.3327745599999998</v>
      </c>
      <c r="C86">
        <v>1.00498361</v>
      </c>
      <c r="D86">
        <v>-0.208896</v>
      </c>
      <c r="E86">
        <v>-6.1394187400000001E-2</v>
      </c>
      <c r="G86">
        <f>B86*(B$44)^(A86)*(B$38)^(B$76)+C86*(B$44)^(A86)*(B$38)^(C$76)+D86*(B$44)^(A86)*(B$38)^(D$76)+E86*(B$44)^(A86)*(B$38)^(E$76)+F86*(B$44)^(A86)*(B$38)^(F$76)</f>
        <v>-476.22817894519994</v>
      </c>
    </row>
    <row r="87" spans="1:7">
      <c r="A87">
        <v>2</v>
      </c>
      <c r="B87" s="3">
        <v>4.6166210900000001E-3</v>
      </c>
      <c r="C87" s="3">
        <v>-1.3565070899999999E-3</v>
      </c>
      <c r="D87" s="3">
        <v>1.6049132499999999E-4</v>
      </c>
      <c r="G87">
        <f t="shared" ref="G87:G89" si="3">B87*(B$44)^(A87)*(B$38)^(B$76)+C87*(B$44)^(A87)*(B$38)^(C$76)+D87*(B$44)^(A87)*(B$38)^(D$76)+E87*(B$44)^(A87)*(B$38)^(E$76)+F87*(B$44)^(A87)*(B$38)^(F$76)</f>
        <v>303.76343528130002</v>
      </c>
    </row>
    <row r="88" spans="1:7">
      <c r="A88">
        <v>3</v>
      </c>
      <c r="B88" s="3">
        <v>-4.0364333299999996E-6</v>
      </c>
      <c r="C88" s="3">
        <v>5.94046919E-7</v>
      </c>
      <c r="G88">
        <f t="shared" si="3"/>
        <v>-91.097909487048312</v>
      </c>
    </row>
    <row r="89" spans="1:7">
      <c r="A89">
        <v>4</v>
      </c>
      <c r="B89" s="3">
        <v>1.3160403699999999E-9</v>
      </c>
      <c r="G89">
        <f t="shared" si="3"/>
        <v>10.378492311348293</v>
      </c>
    </row>
    <row r="90" spans="1:7">
      <c r="G90">
        <f>SUM(G85:G89)</f>
        <v>78.752670260400066</v>
      </c>
    </row>
  </sheetData>
  <mergeCells count="1">
    <mergeCell ref="B75:F7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Delanney</dc:creator>
  <cp:lastModifiedBy>Arnaud Delanney</cp:lastModifiedBy>
  <dcterms:created xsi:type="dcterms:W3CDTF">2024-01-26T12:54:39Z</dcterms:created>
  <dcterms:modified xsi:type="dcterms:W3CDTF">2024-02-06T10:45:24Z</dcterms:modified>
</cp:coreProperties>
</file>